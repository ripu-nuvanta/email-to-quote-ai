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bottom style="medium"/>
    </border>
    <border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65" fontId="0" fillId="0" borderId="0" pivotButton="0" quotePrefix="0" xfId="0"/>
    <xf numFmtId="165" fontId="0" fillId="2" borderId="0" applyAlignment="1" pivotButton="0" quotePrefix="0" xfId="0">
      <alignment horizontal="left"/>
    </xf>
    <xf numFmtId="0" fontId="3" fillId="3" borderId="1" pivotButton="0" quotePrefix="0" xfId="0"/>
    <xf numFmtId="0" fontId="0" fillId="0" borderId="2" pivotButton="0" quotePrefix="0" xfId="0"/>
    <xf numFmtId="166" fontId="0" fillId="0" borderId="2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6" customWidth="1" min="4" max="4"/>
    <col width="6" customWidth="1" min="5" max="5"/>
    <col width="11" customWidth="1" min="6" max="6"/>
    <col width="11" customWidth="1" min="7" max="7"/>
    <col width="20" customWidth="1" min="8" max="8"/>
  </cols>
  <sheetData>
    <row r="1">
      <c r="A1" s="1" t="inlineStr">
        <is>
          <t>SUMMIT RIDGE BUILDERS, INC.</t>
        </is>
      </c>
      <c r="G1" s="2" t="inlineStr">
        <is>
          <t>PR #</t>
        </is>
      </c>
      <c r="H1" t="inlineStr">
        <is>
          <t>0418</t>
        </is>
      </c>
    </row>
    <row r="2">
      <c r="A2" s="3" t="inlineStr">
        <is>
          <t>Material Purchase Request</t>
        </is>
      </c>
    </row>
    <row r="4">
      <c r="A4" s="2" t="inlineStr">
        <is>
          <t>Job #</t>
        </is>
      </c>
      <c r="B4" s="4" t="n">
        <v>2417</v>
      </c>
      <c r="E4" s="2" t="inlineStr">
        <is>
          <t>Job Name</t>
        </is>
      </c>
      <c r="F4" t="inlineStr">
        <is>
          <t>Aspen Ridge Townhomes - Ph 2</t>
        </is>
      </c>
    </row>
    <row r="5">
      <c r="A5" s="2" t="inlineStr">
        <is>
          <t>Requested By</t>
        </is>
      </c>
      <c r="B5" s="4" t="inlineStr">
        <is>
          <t>M. Gonzalez</t>
        </is>
      </c>
      <c r="E5" s="2" t="inlineStr">
        <is>
          <t>Date</t>
        </is>
      </c>
      <c r="F5" s="5" t="n">
        <v>46279</v>
      </c>
    </row>
    <row r="6">
      <c r="A6" s="2" t="inlineStr">
        <is>
          <t>Need By</t>
        </is>
      </c>
      <c r="B6" s="6" t="n">
        <v>46305</v>
      </c>
      <c r="E6" s="2" t="inlineStr">
        <is>
          <t>Cost Code</t>
        </is>
      </c>
      <c r="F6" t="inlineStr">
        <is>
          <t>05-500</t>
        </is>
      </c>
    </row>
    <row r="7">
      <c r="A7" s="2" t="inlineStr">
        <is>
          <t>Deliver To</t>
        </is>
      </c>
      <c r="B7" t="inlineStr">
        <is>
          <t>Site office - 88 Aspen Ridge Rd, Denver CO 80216</t>
        </is>
      </c>
    </row>
    <row r="9">
      <c r="A9" s="7" t="inlineStr">
        <is>
          <t>Line</t>
        </is>
      </c>
      <c r="B9" s="7" t="inlineStr">
        <is>
          <t>Vendor Part #</t>
        </is>
      </c>
      <c r="C9" s="7" t="inlineStr">
        <is>
          <t>Description</t>
        </is>
      </c>
      <c r="D9" s="7" t="inlineStr">
        <is>
          <t>UOM</t>
        </is>
      </c>
      <c r="E9" s="7" t="inlineStr">
        <is>
          <t>Qty</t>
        </is>
      </c>
      <c r="F9" s="7" t="inlineStr">
        <is>
          <t>Est Unit $</t>
        </is>
      </c>
      <c r="G9" s="7" t="inlineStr">
        <is>
          <t>Ext $</t>
        </is>
      </c>
      <c r="H9" s="7" t="inlineStr">
        <is>
          <t>Notes</t>
        </is>
      </c>
    </row>
    <row r="10">
      <c r="A10" s="8" t="n">
        <v>1</v>
      </c>
      <c r="B10" s="8" t="inlineStr">
        <is>
          <t>FS-HB-M8-50</t>
        </is>
      </c>
      <c r="C10" s="8" t="inlineStr">
        <is>
          <t>BOLT HEX M8X50 ZP 100/BX</t>
        </is>
      </c>
      <c r="D10" s="8" t="inlineStr">
        <is>
          <t>BX</t>
        </is>
      </c>
      <c r="E10" s="8" t="n">
        <v>60</v>
      </c>
      <c r="F10" s="9" t="n">
        <v>16.1</v>
      </c>
      <c r="G10" s="9">
        <f>E10*F10</f>
        <v/>
      </c>
      <c r="H10" s="8" t="inlineStr"/>
    </row>
    <row r="11">
      <c r="A11" s="8" t="n">
        <v>2</v>
      </c>
      <c r="B11" s="8" t="inlineStr">
        <is>
          <t>FS-HN-M8</t>
        </is>
      </c>
      <c r="C11" s="8" t="inlineStr">
        <is>
          <t>NUT HEX M8 ZP 100/BX</t>
        </is>
      </c>
      <c r="D11" s="8" t="inlineStr">
        <is>
          <t>BX</t>
        </is>
      </c>
      <c r="E11" s="8" t="n">
        <v>60</v>
      </c>
      <c r="F11" s="9" t="n">
        <v>5.6</v>
      </c>
      <c r="G11" s="9">
        <f>E11*F11</f>
        <v/>
      </c>
      <c r="H11" s="8" t="inlineStr"/>
    </row>
    <row r="12">
      <c r="A12" s="8" t="n">
        <v>3</v>
      </c>
      <c r="B12" s="8" t="inlineStr">
        <is>
          <t>FS-WA-M8</t>
        </is>
      </c>
      <c r="C12" s="8" t="inlineStr">
        <is>
          <t>WASHER FLAT M8 ZP 100/BX</t>
        </is>
      </c>
      <c r="D12" s="8" t="inlineStr">
        <is>
          <t>BX</t>
        </is>
      </c>
      <c r="E12" s="8" t="n">
        <v>120</v>
      </c>
      <c r="F12" s="9" t="n">
        <v>3.4</v>
      </c>
      <c r="G12" s="9">
        <f>E12*F12</f>
        <v/>
      </c>
      <c r="H12" s="8" t="inlineStr"/>
    </row>
    <row r="13">
      <c r="A13" s="8" t="n">
        <v>4</v>
      </c>
      <c r="B13" s="8" t="n"/>
      <c r="C13" s="8" t="inlineStr">
        <is>
          <t>Hard hat, white</t>
        </is>
      </c>
      <c r="D13" s="8" t="inlineStr">
        <is>
          <t>EA</t>
        </is>
      </c>
      <c r="E13" s="8" t="n">
        <v>30</v>
      </c>
      <c r="F13" s="9" t="n">
        <v>12</v>
      </c>
      <c r="G13" s="9">
        <f>E13*F13</f>
        <v/>
      </c>
      <c r="H13" s="8" t="inlineStr">
        <is>
          <t>same as last order</t>
        </is>
      </c>
    </row>
    <row r="14">
      <c r="A14" s="8" t="n">
        <v>5</v>
      </c>
      <c r="B14" s="8" t="n"/>
      <c r="C14" s="8" t="inlineStr">
        <is>
          <t>Hi vis vest XL</t>
        </is>
      </c>
      <c r="D14" s="8" t="inlineStr">
        <is>
          <t>EA</t>
        </is>
      </c>
      <c r="E14" s="8" t="n">
        <v>20</v>
      </c>
      <c r="F14" s="9" t="n">
        <v>6</v>
      </c>
      <c r="G14" s="9">
        <f>E14*F14</f>
        <v/>
      </c>
      <c r="H14" s="8" t="inlineStr">
        <is>
          <t>class 2</t>
        </is>
      </c>
    </row>
    <row r="16">
      <c r="F16" s="2" t="inlineStr">
        <is>
          <t>Subtotal</t>
        </is>
      </c>
      <c r="G16" s="10">
        <f>SUM(G10:G14)</f>
        <v/>
      </c>
    </row>
    <row r="18">
      <c r="A18" s="2" t="inlineStr">
        <is>
          <t>Notes:</t>
        </is>
      </c>
      <c r="B18" t="inlineStr">
        <is>
          <t>pls include lead times - bolts + nuts needed w/ first delivery</t>
        </is>
      </c>
    </row>
    <row r="20">
      <c r="A20" s="2" t="inlineStr">
        <is>
          <t>PM Approval:</t>
        </is>
      </c>
      <c r="B20" t="inlineStr">
        <is>
          <t>MG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M. Gonzalez</dc:creator>
  <dcterms:created xmlns:dcterms="http://purl.org/dc/terms/" xmlns:xsi="http://www.w3.org/2001/XMLSchema-instance" xsi:type="dcterms:W3CDTF">2026-09-16T08:38:03Z</dcterms:created>
  <dcterms:modified xmlns:dcterms="http://purl.org/dc/terms/" xmlns:xsi="http://www.w3.org/2001/XMLSchema-instance" xsi:type="dcterms:W3CDTF">2026-09-16T08:38:03Z</dcterms:modified>
  <cp:lastModifiedBy>M. Gonzalez</cp:lastModifiedBy>
</cp:coreProperties>
</file>